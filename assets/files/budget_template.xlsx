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<sst xmlns="http://schemas.openxmlformats.org/spreadsheetml/2006/main" count="42" uniqueCount="42">
  <si>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BNP-ISBA International Conference — budget outline</t>
  </si>
  <si>
    <t xml:space="preserve">A rough guideline, not a required format: add, remove or rename lines as you see fit. The conference is not run for profit, so the budget should roughly break even.</t>
  </si>
  <si>
    <t xml:space="preserve">Amounts in local currency. Figures in blue are illustrative (about 270 registrants): replace them with your own estimates.</t>
  </si>
  <si>
    <t xml:space="preserve">Currency</t>
  </si>
  <si>
    <t xml:space="preserve">EUR</t>
  </si>
  <si>
    <t xml:space="preserve">Item</t>
  </si>
  <si>
    <t xml:space="preserve">Quantity</t>
  </si>
  <si>
    <t xml:space="preserve">Unit amount</t>
  </si>
  <si>
    <t xml:space="preserve">Total</t>
  </si>
  <si>
    <t xml:space="preserve">Notes</t>
  </si>
  <si>
    <t xml:space="preserve">Revenue</t>
  </si>
  <si>
    <t xml:space="preserve">Registration fees, regular participants</t>
  </si>
  <si>
    <t xml:space="preserve">Expected number × average fee. ISBA members must receive a discount.</t>
  </si>
  <si>
    <t xml:space="preserve">Registration fees, students</t>
  </si>
  <si>
    <t xml:space="preserve">Expected number × average fee.</t>
  </si>
  <si>
    <t xml:space="preserve">Banquet tickets</t>
  </si>
  <si>
    <t xml:space="preserve">Sponsorship</t>
  </si>
  <si>
    <t xml:space="preserve">Including any sponsorship for student travel awards.</t>
  </si>
  <si>
    <t xml:space="preserve">Other income</t>
  </si>
  <si>
    <t xml:space="preserve">Total revenue</t>
  </si>
  <si>
    <t xml:space="preserve">Expenses</t>
  </si>
  <si>
    <t xml:space="preserve">Venue and meeting rooms</t>
  </si>
  <si>
    <t xml:space="preserve">Audio-visual facilities</t>
  </si>
  <si>
    <t xml:space="preserve">Including remote transmission if hybrid.</t>
  </si>
  <si>
    <t xml:space="preserve">Internet and Wi-Fi</t>
  </si>
  <si>
    <t xml:space="preserve">Poster session supplies</t>
  </si>
  <si>
    <t xml:space="preserve">Opening reception</t>
  </si>
  <si>
    <t xml:space="preserve">Participants × cost per person.</t>
  </si>
  <si>
    <t xml:space="preserve">Coffee breaks</t>
  </si>
  <si>
    <t xml:space="preserve">Number of breaks × cost per break.</t>
  </si>
  <si>
    <t xml:space="preserve">Banquet dinner</t>
  </si>
  <si>
    <t xml:space="preserve">Administrative support</t>
  </si>
  <si>
    <t xml:space="preserve">Website, programme, printed materials</t>
  </si>
  <si>
    <t xml:space="preserve">Childcare facilities</t>
  </si>
  <si>
    <t xml:space="preserve">Student travel awards</t>
  </si>
  <si>
    <t xml:space="preserve">Card and bank transaction fees</t>
  </si>
  <si>
    <t xml:space="preserve">About 3% of the fees collected.</t>
  </si>
  <si>
    <t xml:space="preserve">Contingency</t>
  </si>
  <si>
    <t xml:space="preserve">Optional: a margin for unexpected costs or lower attendance.</t>
  </si>
  <si>
    <t xml:space="preserve">Total expenses</t>
  </si>
  <si>
    <t xml:space="preserve">Net result (should be close to zero)</t>
  </si>
  <si>
    <t xml:space="preserve">Any surplus repays upfront funding from the section and ISBA first; see the Clauses.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</si>
</sst>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 t="s">
        <v>4</v>
      </c>
    </row>
    <row r="7" customFormat="false" ht="15" hidden="false" customHeight="false" outlineLevel="0" collapsed="false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</row>
    <row r="8" customFormat="false" ht="15" hidden="false" customHeight="false" outlineLevel="0" collapsed="false">
      <c r="A8" s="6" t="s">
        <v>10</v>
      </c>
      <c r="B8" s="7"/>
      <c r="C8" s="7"/>
      <c r="D8" s="7"/>
      <c r="E8" s="7"/>
    </row>
    <row r="9" customFormat="false" ht="15" hidden="false" customHeight="false" outlineLevel="0" collapsed="false">
      <c r="A9" s="3" t="s">
        <v>11</v>
      </c>
      <c r="B9" s="8" t="n">
        <v>180</v>
      </c>
      <c r="C9" s="8" t="n">
        <v>370</v>
      </c>
      <c r="D9" s="9" t="n">
        <f aca="false">B9*C9</f>
        <v>66600</v>
      </c>
      <c r="E9" s="2" t="s">
        <v>12</v>
      </c>
    </row>
    <row r="10" customFormat="false" ht="15" hidden="false" customHeight="false" outlineLevel="0" collapsed="false">
      <c r="A10" s="3" t="s">
        <v>13</v>
      </c>
      <c r="B10" s="8" t="n">
        <v>90</v>
      </c>
      <c r="C10" s="8" t="n">
        <v>175</v>
      </c>
      <c r="D10" s="9" t="n">
        <f aca="false">B10*C10</f>
        <v>15750</v>
      </c>
      <c r="E10" s="2" t="s">
        <v>14</v>
      </c>
    </row>
    <row r="11" customFormat="false" ht="15" hidden="false" customHeight="false" outlineLevel="0" collapsed="false">
      <c r="A11" s="3" t="s">
        <v>15</v>
      </c>
      <c r="B11" s="8" t="n">
        <v>220</v>
      </c>
      <c r="C11" s="8" t="n">
        <v>70</v>
      </c>
      <c r="D11" s="9" t="n">
        <f aca="false">B11*C11</f>
        <v>15400</v>
      </c>
    </row>
    <row r="12" customFormat="false" ht="15" hidden="false" customHeight="false" outlineLevel="0" collapsed="false">
      <c r="A12" s="3" t="s">
        <v>16</v>
      </c>
      <c r="D12" s="8" t="n">
        <v>13000</v>
      </c>
      <c r="E12" s="2" t="s">
        <v>17</v>
      </c>
    </row>
    <row r="13" customFormat="false" ht="15" hidden="false" customHeight="false" outlineLevel="0" collapsed="false">
      <c r="A13" s="3" t="s">
        <v>18</v>
      </c>
      <c r="D13" s="8" t="n">
        <v>0</v>
      </c>
    </row>
    <row r="14" customFormat="false" ht="15" hidden="false" customHeight="false" outlineLevel="0" collapsed="false">
      <c r="A14" s="10" t="s">
        <v>19</v>
      </c>
      <c r="B14" s="11"/>
      <c r="C14" s="11"/>
      <c r="D14" s="12" t="n">
        <f aca="false">SUM(D9:D13)</f>
        <v>110750</v>
      </c>
      <c r="E14" s="11"/>
    </row>
    <row r="16" customFormat="false" ht="15" hidden="false" customHeight="false" outlineLevel="0" collapsed="false">
      <c r="A16" s="6" t="s">
        <v>20</v>
      </c>
      <c r="B16" s="7"/>
      <c r="C16" s="7"/>
      <c r="D16" s="7"/>
      <c r="E16" s="7"/>
    </row>
    <row r="17" customFormat="false" ht="15" hidden="false" customHeight="false" outlineLevel="0" collapsed="false">
      <c r="A17" s="3" t="s">
        <v>21</v>
      </c>
      <c r="D17" s="8" t="n">
        <v>20000</v>
      </c>
    </row>
    <row r="18" customFormat="false" ht="15" hidden="false" customHeight="false" outlineLevel="0" collapsed="false">
      <c r="A18" s="3" t="s">
        <v>22</v>
      </c>
      <c r="D18" s="8" t="n">
        <v>6000</v>
      </c>
      <c r="E18" s="2" t="s">
        <v>23</v>
      </c>
    </row>
    <row r="19" customFormat="false" ht="15" hidden="false" customHeight="false" outlineLevel="0" collapsed="false">
      <c r="A19" s="3" t="s">
        <v>24</v>
      </c>
      <c r="D19" s="8" t="n">
        <v>1000</v>
      </c>
    </row>
    <row r="20" customFormat="false" ht="15" hidden="false" customHeight="false" outlineLevel="0" collapsed="false">
      <c r="A20" s="3" t="s">
        <v>25</v>
      </c>
      <c r="D20" s="8" t="n">
        <v>1500</v>
      </c>
    </row>
    <row r="21" customFormat="false" ht="15" hidden="false" customHeight="false" outlineLevel="0" collapsed="false">
      <c r="A21" s="3" t="s">
        <v>26</v>
      </c>
      <c r="B21" s="8" t="n">
        <v>270</v>
      </c>
      <c r="C21" s="8" t="n">
        <v>25</v>
      </c>
      <c r="D21" s="9" t="n">
        <f aca="false">B21*C21</f>
        <v>6750</v>
      </c>
      <c r="E21" s="2" t="s">
        <v>27</v>
      </c>
    </row>
    <row r="22" customFormat="false" ht="15" hidden="false" customHeight="false" outlineLevel="0" collapsed="false">
      <c r="A22" s="3" t="s">
        <v>28</v>
      </c>
      <c r="B22" s="8" t="n">
        <v>8</v>
      </c>
      <c r="C22" s="8" t="n">
        <v>1620</v>
      </c>
      <c r="D22" s="9" t="n">
        <f aca="false">B22*C22</f>
        <v>12960</v>
      </c>
      <c r="E22" s="2" t="s">
        <v>29</v>
      </c>
    </row>
    <row r="23" customFormat="false" ht="15" hidden="false" customHeight="false" outlineLevel="0" collapsed="false">
      <c r="A23" s="3" t="s">
        <v>30</v>
      </c>
      <c r="B23" s="8" t="n">
        <v>220</v>
      </c>
      <c r="C23" s="8" t="n">
        <v>70</v>
      </c>
      <c r="D23" s="9" t="n">
        <f aca="false">B23*C23</f>
        <v>15400</v>
      </c>
    </row>
    <row r="24" customFormat="false" ht="15" hidden="false" customHeight="false" outlineLevel="0" collapsed="false">
      <c r="A24" s="3" t="s">
        <v>31</v>
      </c>
      <c r="D24" s="8" t="n">
        <v>12000</v>
      </c>
    </row>
    <row r="25" customFormat="false" ht="15" hidden="false" customHeight="false" outlineLevel="0" collapsed="false">
      <c r="A25" s="3" t="s">
        <v>32</v>
      </c>
      <c r="D25" s="8" t="n">
        <v>4000</v>
      </c>
    </row>
    <row r="26" customFormat="false" ht="15" hidden="false" customHeight="false" outlineLevel="0" collapsed="false">
      <c r="A26" s="3" t="s">
        <v>33</v>
      </c>
      <c r="D26" s="8" t="n">
        <v>3000</v>
      </c>
    </row>
    <row r="27" customFormat="false" ht="15" hidden="false" customHeight="false" outlineLevel="0" collapsed="false">
      <c r="A27" s="3" t="s">
        <v>34</v>
      </c>
      <c r="D27" s="8" t="n">
        <v>14000</v>
      </c>
    </row>
    <row r="28" customFormat="false" ht="15" hidden="false" customHeight="false" outlineLevel="0" collapsed="false">
      <c r="A28" s="3" t="s">
        <v>35</v>
      </c>
      <c r="D28" s="9" t="n">
        <f aca="false">0.03*(D9+D10+D11)</f>
        <v>2932.5</v>
      </c>
      <c r="E28" s="2" t="s">
        <v>36</v>
      </c>
    </row>
    <row r="29" customFormat="false" ht="15" hidden="false" customHeight="false" outlineLevel="0" collapsed="false">
      <c r="A29" s="3" t="s">
        <v>37</v>
      </c>
      <c r="D29" s="8" t="n">
        <v>10000</v>
      </c>
      <c r="E29" s="2" t="s">
        <v>38</v>
      </c>
    </row>
    <row r="30" customFormat="false" ht="15" hidden="false" customHeight="false" outlineLevel="0" collapsed="false">
      <c r="A30" s="10" t="s">
        <v>39</v>
      </c>
      <c r="B30" s="11"/>
      <c r="C30" s="11"/>
      <c r="D30" s="12" t="n">
        <f aca="false">SUM(D17:D29)</f>
        <v>109542.5</v>
      </c>
      <c r="E30" s="11"/>
    </row>
    <row r="32" customFormat="false" ht="15" hidden="false" customHeight="false" outlineLevel="0" collapsed="false">
      <c r="A32" s="13" t="s">
        <v>40</v>
      </c>
      <c r="D32" s="14" t="n">
        <f aca="false">D14-D30</f>
        <v>1207.5</v>
      </c>
      <c r="E32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2026-10-28T22:54:10Z</dcterms:created>
  <dc:creator>openpyxl</dc:creator>
  <dc:description/>
  <dc:language>en-US</dc:language>
  <cp:lastModifiedBy/>
  <dcterms:modified xsi:type="dcterms:W3CDTF">2026-10-28T22:54:10Z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